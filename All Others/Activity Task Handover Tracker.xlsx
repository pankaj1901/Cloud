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Handover Tracker" sheetId="1" state="visible" r:id="rId3"/>
    <sheet name="Dashboard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<sst xmlns="http://schemas.openxmlformats.org/spreadsheetml/2006/main" count="241" uniqueCount="188">
  <si>
    <t xml:space="preserve">ACTIVITY TASK HANDOVER TRACKER</t>
  </si>
  <si>
    <t xml:space="preserve">Track task ownership, progress, and handover status across teams and activities</t>
  </si>
  <si>
    <t xml:space="preserve">Last Updated: March 17, 2026</t>
  </si>
  <si>
    <t xml:space="preserve">TASK IDENTIFICATION</t>
  </si>
  <si>
    <t xml:space="preserve">OWNERSHIP &amp; ASSIGNMENT</t>
  </si>
  <si>
    <t xml:space="preserve">TIMELINE</t>
  </si>
  <si>
    <t xml:space="preserve">HANDOVER DETAILS</t>
  </si>
  <si>
    <t xml:space="preserve">STATUS &amp; PRIORITY</t>
  </si>
  <si>
    <t xml:space="preserve">#</t>
  </si>
  <si>
    <t xml:space="preserve">Activity / Project</t>
  </si>
  <si>
    <t xml:space="preserve">Task Name</t>
  </si>
  <si>
    <t xml:space="preserve">Description</t>
  </si>
  <si>
    <t xml:space="preserve">Task Owner</t>
  </si>
  <si>
    <t xml:space="preserve">Handing Over To</t>
  </si>
  <si>
    <t xml:space="preserve">Department / Team</t>
  </si>
  <si>
    <t xml:space="preserve">Start Date</t>
  </si>
  <si>
    <t xml:space="preserve">Due Date</t>
  </si>
  <si>
    <t xml:space="preserve">Handover Date</t>
  </si>
  <si>
    <t xml:space="preserve">Handover Notes</t>
  </si>
  <si>
    <t xml:space="preserve">Acceptance Criteria</t>
  </si>
  <si>
    <t xml:space="preserve">Sign-Off By</t>
  </si>
  <si>
    <t xml:space="preserve">Priority</t>
  </si>
  <si>
    <t xml:space="preserve">Status</t>
  </si>
  <si>
    <t xml:space="preserve">% Complete</t>
  </si>
  <si>
    <t xml:space="preserve">ERP Implementation</t>
  </si>
  <si>
    <t xml:space="preserve">System Configuration</t>
  </si>
  <si>
    <t xml:space="preserve">Configure GL and AP modules</t>
  </si>
  <si>
    <t xml:space="preserve">Sarah Chen</t>
  </si>
  <si>
    <t xml:space="preserve">Mike Patel</t>
  </si>
  <si>
    <t xml:space="preserve">IT / Finance</t>
  </si>
  <si>
    <t xml:space="preserve">2026-02-01</t>
  </si>
  <si>
    <t xml:space="preserve">2026-03-20</t>
  </si>
  <si>
    <t xml:space="preserve">2026-03-15</t>
  </si>
  <si>
    <t xml:space="preserve">All config docs in SharePoint</t>
  </si>
  <si>
    <t xml:space="preserve">Tested in UAT &amp; approved by Finance</t>
  </si>
  <si>
    <t xml:space="preserve">CFO</t>
  </si>
  <si>
    <t xml:space="preserve">High</t>
  </si>
  <si>
    <t xml:space="preserve">Completed</t>
  </si>
  <si>
    <t xml:space="preserve">100%</t>
  </si>
  <si>
    <t xml:space="preserve">Data Migration</t>
  </si>
  <si>
    <t xml:space="preserve">Migrate historical data to new system</t>
  </si>
  <si>
    <t xml:space="preserve">James Wright</t>
  </si>
  <si>
    <t xml:space="preserve">IT</t>
  </si>
  <si>
    <t xml:space="preserve">2026-02-15</t>
  </si>
  <si>
    <t xml:space="preserve">2026-04-01</t>
  </si>
  <si>
    <t xml:space="preserve">2026-03-28</t>
  </si>
  <si>
    <t xml:space="preserve">Use migration runbook v3</t>
  </si>
  <si>
    <t xml:space="preserve">Zero data loss; reconcile record counts</t>
  </si>
  <si>
    <t xml:space="preserve">IT Director</t>
  </si>
  <si>
    <t xml:space="preserve">Critical</t>
  </si>
  <si>
    <t xml:space="preserve">In Progress</t>
  </si>
  <si>
    <t xml:space="preserve">65%</t>
  </si>
  <si>
    <t xml:space="preserve">User Training</t>
  </si>
  <si>
    <t xml:space="preserve">Conduct end-user training sessions</t>
  </si>
  <si>
    <t xml:space="preserve">Emily Davis</t>
  </si>
  <si>
    <t xml:space="preserve">HR Team</t>
  </si>
  <si>
    <t xml:space="preserve">HR / Training</t>
  </si>
  <si>
    <t xml:space="preserve">2026-03-01</t>
  </si>
  <si>
    <t xml:space="preserve">2026-04-15</t>
  </si>
  <si>
    <t xml:space="preserve">2026-04-10</t>
  </si>
  <si>
    <t xml:space="preserve">Training deck shared via LMS</t>
  </si>
  <si>
    <t xml:space="preserve">80% completion rate on assessment</t>
  </si>
  <si>
    <t xml:space="preserve">CHRO</t>
  </si>
  <si>
    <t xml:space="preserve">Not Started</t>
  </si>
  <si>
    <t xml:space="preserve">0%</t>
  </si>
  <si>
    <t xml:space="preserve">Q2 Marketing Campaign</t>
  </si>
  <si>
    <t xml:space="preserve">Campaign Planning</t>
  </si>
  <si>
    <t xml:space="preserve">Define campaign goals and budget</t>
  </si>
  <si>
    <t xml:space="preserve">Tom Nguyen</t>
  </si>
  <si>
    <t xml:space="preserve">Lisa Park</t>
  </si>
  <si>
    <t xml:space="preserve">Marketing</t>
  </si>
  <si>
    <t xml:space="preserve">2026-02-10</t>
  </si>
  <si>
    <t xml:space="preserve">2026-03-10</t>
  </si>
  <si>
    <t xml:space="preserve">2026-03-05</t>
  </si>
  <si>
    <t xml:space="preserve">Brief doc emailed to Lisa</t>
  </si>
  <si>
    <t xml:space="preserve">Approved campaign brief signed</t>
  </si>
  <si>
    <t xml:space="preserve">CMO</t>
  </si>
  <si>
    <t xml:space="preserve">Medium</t>
  </si>
  <si>
    <t xml:space="preserve">Creative Production</t>
  </si>
  <si>
    <t xml:space="preserve">Design ads and copy assets</t>
  </si>
  <si>
    <t xml:space="preserve">Creative Agency</t>
  </si>
  <si>
    <t xml:space="preserve">2026-03-25</t>
  </si>
  <si>
    <t xml:space="preserve">Brand guidelines in Dropbox</t>
  </si>
  <si>
    <t xml:space="preserve">Final assets approved by brand team</t>
  </si>
  <si>
    <t xml:space="preserve">40%</t>
  </si>
  <si>
    <t xml:space="preserve">Office Relocation</t>
  </si>
  <si>
    <t xml:space="preserve">IT Infrastructure Setup</t>
  </si>
  <si>
    <t xml:space="preserve">Set up network and workstations</t>
  </si>
  <si>
    <t xml:space="preserve">Dev Kumar</t>
  </si>
  <si>
    <t xml:space="preserve">Facilities Mgr</t>
  </si>
  <si>
    <t xml:space="preserve">2026-05-01</t>
  </si>
  <si>
    <t xml:space="preserve">2026-04-28</t>
  </si>
  <si>
    <t xml:space="preserve">Network diagram v2 filed</t>
  </si>
  <si>
    <t xml:space="preserve">All endpoints tested and live</t>
  </si>
  <si>
    <t xml:space="preserve">CTO</t>
  </si>
  <si>
    <t xml:space="preserve">Vendor Coordination</t>
  </si>
  <si>
    <t xml:space="preserve">Liaise with movers and fit-out vendors</t>
  </si>
  <si>
    <t xml:space="preserve">Anna Smith</t>
  </si>
  <si>
    <t xml:space="preserve">Operations</t>
  </si>
  <si>
    <t xml:space="preserve">2026-04-20</t>
  </si>
  <si>
    <t xml:space="preserve">Vendor contracts in legal drive</t>
  </si>
  <si>
    <t xml:space="preserve">All contracts signed; schedule confirmed</t>
  </si>
  <si>
    <t xml:space="preserve">COO</t>
  </si>
  <si>
    <t xml:space="preserve">Low</t>
  </si>
  <si>
    <t xml:space="preserve">55%</t>
  </si>
  <si>
    <t xml:space="preserve">Product Launch – v3.0</t>
  </si>
  <si>
    <t xml:space="preserve">QA Testing</t>
  </si>
  <si>
    <t xml:space="preserve">Run full regression and UAT</t>
  </si>
  <si>
    <t xml:space="preserve">Raj Mehta</t>
  </si>
  <si>
    <t xml:space="preserve">PM Team</t>
  </si>
  <si>
    <t xml:space="preserve">Engineering</t>
  </si>
  <si>
    <t xml:space="preserve">2026-02-20</t>
  </si>
  <si>
    <t xml:space="preserve">2026-03-31</t>
  </si>
  <si>
    <t xml:space="preserve">Test cases in Jira</t>
  </si>
  <si>
    <t xml:space="preserve">Pass rate ≥ 98%; P1 bugs = 0</t>
  </si>
  <si>
    <t xml:space="preserve">CPO</t>
  </si>
  <si>
    <t xml:space="preserve">80%</t>
  </si>
  <si>
    <t xml:space="preserve">Release Communication</t>
  </si>
  <si>
    <t xml:space="preserve">Draft internal &amp; external release notes</t>
  </si>
  <si>
    <t xml:space="preserve">Sophie Turner</t>
  </si>
  <si>
    <t xml:space="preserve">Product</t>
  </si>
  <si>
    <t xml:space="preserve">2026-04-05</t>
  </si>
  <si>
    <t xml:space="preserve">Comms plan template shared</t>
  </si>
  <si>
    <t xml:space="preserve">Approved by Legal and Product</t>
  </si>
  <si>
    <t xml:space="preserve">Compliance Review</t>
  </si>
  <si>
    <t xml:space="preserve">Policy Update</t>
  </si>
  <si>
    <t xml:space="preserve">Update data privacy policies</t>
  </si>
  <si>
    <t xml:space="preserve">Chris Brown</t>
  </si>
  <si>
    <t xml:space="preserve">Legal Counsel</t>
  </si>
  <si>
    <t xml:space="preserve">Legal / Compliance</t>
  </si>
  <si>
    <t xml:space="preserve">2026-01-15</t>
  </si>
  <si>
    <t xml:space="preserve">Redline docs in legal folder</t>
  </si>
  <si>
    <t xml:space="preserve">Board sign-off obtained</t>
  </si>
  <si>
    <t xml:space="preserve">General Counsel</t>
  </si>
  <si>
    <t xml:space="preserve">TOTALS / SUMMARY</t>
  </si>
  <si>
    <t xml:space="preserve">HANDOVER DASHBOARD – AT A GLANCE</t>
  </si>
  <si>
    <t xml:space="preserve">TOTAL TASKS</t>
  </si>
  <si>
    <t xml:space="preserve">COMPLETED</t>
  </si>
  <si>
    <t xml:space="preserve">IN PROGRESS</t>
  </si>
  <si>
    <t xml:space="preserve">NOT STARTED</t>
  </si>
  <si>
    <t xml:space="preserve">CRITICAL TASKS</t>
  </si>
  <si>
    <t xml:space="preserve">AVG COMPLETION</t>
  </si>
  <si>
    <t xml:space="preserve">STATUS BREAKDOWN</t>
  </si>
  <si>
    <t xml:space="preserve">PRIORITY BREAKDOWN</t>
  </si>
  <si>
    <t xml:space="preserve">Count</t>
  </si>
  <si>
    <t xml:space="preserve">% of Total</t>
  </si>
  <si>
    <t xml:space="preserve">On Hold</t>
  </si>
  <si>
    <t xml:space="preserve">💡  TIP: Use the filters in the Task Handover Tracker sheet to slice by Owner, Status, Priority, or Department.</t>
  </si>
  <si>
    <t xml:space="preserve">HOW TO USE THIS TRACKER</t>
  </si>
  <si>
    <t xml:space="preserve">STEP</t>
  </si>
  <si>
    <t xml:space="preserve">ACTION</t>
  </si>
  <si>
    <t xml:space="preserve">NOTES</t>
  </si>
  <si>
    <t xml:space="preserve">1</t>
  </si>
  <si>
    <t xml:space="preserve">Open Task Handover Tracker sheet</t>
  </si>
  <si>
    <t xml:space="preserve">This is the main data entry sheet</t>
  </si>
  <si>
    <t xml:space="preserve">2</t>
  </si>
  <si>
    <t xml:space="preserve">Fill in Activity / Project</t>
  </si>
  <si>
    <t xml:space="preserve">Group related tasks under one activity name</t>
  </si>
  <si>
    <t xml:space="preserve">3</t>
  </si>
  <si>
    <t xml:space="preserve">Enter Task Name &amp; Description</t>
  </si>
  <si>
    <t xml:space="preserve">Be specific so the receiver understands scope</t>
  </si>
  <si>
    <t xml:space="preserve">4</t>
  </si>
  <si>
    <t xml:space="preserve">Set Task Owner</t>
  </si>
  <si>
    <t xml:space="preserve">The person currently responsible for the task</t>
  </si>
  <si>
    <t xml:space="preserve">5</t>
  </si>
  <si>
    <t xml:space="preserve">Set Handing Over To</t>
  </si>
  <si>
    <t xml:space="preserve">The person who will take over the task</t>
  </si>
  <si>
    <t xml:space="preserve">6</t>
  </si>
  <si>
    <t xml:space="preserve">Enter Start, Due &amp; Handover Dates</t>
  </si>
  <si>
    <t xml:space="preserve">Use DD/MM/YYYY format</t>
  </si>
  <si>
    <t xml:space="preserve">7</t>
  </si>
  <si>
    <t xml:space="preserve">Fill in Handover Notes</t>
  </si>
  <si>
    <t xml:space="preserve">Document anything critical the receiver needs to know</t>
  </si>
  <si>
    <t xml:space="preserve">8</t>
  </si>
  <si>
    <t xml:space="preserve">Define Acceptance Criteria</t>
  </si>
  <si>
    <t xml:space="preserve">What does done look like for this handover?</t>
  </si>
  <si>
    <t xml:space="preserve">9</t>
  </si>
  <si>
    <t xml:space="preserve">Set Priority (dropdown)</t>
  </si>
  <si>
    <t xml:space="preserve">Critical / High / Medium / Low</t>
  </si>
  <si>
    <t xml:space="preserve">10</t>
  </si>
  <si>
    <t xml:space="preserve">Update Status (dropdown)</t>
  </si>
  <si>
    <t xml:space="preserve">Not Started / In Progress / On Hold / Completed</t>
  </si>
  <si>
    <t xml:space="preserve">11</t>
  </si>
  <si>
    <t xml:space="preserve">Update % Complete</t>
  </si>
  <si>
    <t xml:space="preserve">Enter as a percentage e.g. 75%</t>
  </si>
  <si>
    <t xml:space="preserve">12</t>
  </si>
  <si>
    <t xml:space="preserve">View Dashboard</t>
  </si>
  <si>
    <t xml:space="preserve">Check the Dashboard tab for live summary KPIs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</si>
</sst>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D6D7E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D6891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1E8449"/>
      <name val="Arial"/>
      <family val="0"/>
      <charset val="1"/>
    </font>
    <font>
      <b val="true"/>
      <sz val="20"/>
      <color rgb="FFD68910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20"/>
      <color rgb="FF7B241C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7B241C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C0392B"/>
        <bgColor rgb="FF993366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7B241C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68910"/>
        <bgColor rgb="FFFF6600"/>
      </patternFill>
    </fill>
    <fill>
      <patternFill patternType="solid">
        <fgColor rgb="FF1E8449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38135"/>
      <rgbColor rgb="FF800080"/>
      <rgbColor rgb="FF008080"/>
      <rgbColor rgb="FFBFBFBF"/>
      <rgbColor rgb="FF808080"/>
      <rgbColor rgb="FF9999FF"/>
      <rgbColor rgb="FFC0392B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D68910"/>
      <rgbColor rgb="FFFF6600"/>
      <rgbColor rgb="FF5D6D7E"/>
      <rgbColor rgb="FF969696"/>
      <rgbColor rgb="FF1F3864"/>
      <rgbColor rgb="FF1E8449"/>
      <rgbColor rgb="FF003300"/>
      <rgbColor rgb="FF333300"/>
      <rgbColor rgb="FF7B241C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7" min="5" style="0" width="18"/>
    <col collapsed="false" customWidth="true" hidden="false" outlineLevel="0" max="10" min="8" style="0" width="12"/>
    <col collapsed="false" customWidth="true" hidden="false" outlineLevel="0" max="11" min="11" style="0" width="30"/>
    <col collapsed="false" customWidth="true" hidden="false" outlineLevel="0" max="12" min="12" style="0" width="28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3" t="s">
        <v>2</v>
      </c>
      <c r="J3" s="3"/>
      <c r="K3" s="3"/>
      <c r="L3" s="3"/>
      <c r="M3" s="3"/>
      <c r="N3" s="3"/>
      <c r="O3" s="3"/>
      <c r="P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 t="s">
        <v>4</v>
      </c>
      <c r="F4" s="4"/>
      <c r="G4" s="4"/>
      <c r="H4" s="4" t="s">
        <v>5</v>
      </c>
      <c r="I4" s="4"/>
      <c r="J4" s="4"/>
      <c r="K4" s="4" t="s">
        <v>6</v>
      </c>
      <c r="L4" s="4"/>
      <c r="M4" s="4"/>
      <c r="N4" s="4" t="s">
        <v>7</v>
      </c>
      <c r="O4" s="4"/>
      <c r="P4" s="4"/>
    </row>
    <row r="5" customFormat="false" ht="30" hidden="false" customHeight="true" outlineLevel="0" collapsed="false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</row>
    <row r="6" customFormat="false" ht="19.5" hidden="false" customHeight="true" outlineLevel="0" collapsed="false">
      <c r="A6" s="6" t="n">
        <v>1</v>
      </c>
      <c r="B6" s="7" t="s">
        <v>24</v>
      </c>
      <c r="C6" s="7" t="s">
        <v>25</v>
      </c>
      <c r="D6" s="8" t="s">
        <v>26</v>
      </c>
      <c r="E6" s="7" t="s">
        <v>27</v>
      </c>
      <c r="F6" s="7" t="s">
        <v>28</v>
      </c>
      <c r="G6" s="7" t="s">
        <v>29</v>
      </c>
      <c r="H6" s="6" t="s">
        <v>30</v>
      </c>
      <c r="I6" s="6" t="s">
        <v>31</v>
      </c>
      <c r="J6" s="6" t="s">
        <v>32</v>
      </c>
      <c r="K6" s="8" t="s">
        <v>33</v>
      </c>
      <c r="L6" s="8" t="s">
        <v>34</v>
      </c>
      <c r="M6" s="7" t="s">
        <v>35</v>
      </c>
      <c r="N6" s="9" t="s">
        <v>36</v>
      </c>
      <c r="O6" s="10" t="s">
        <v>37</v>
      </c>
      <c r="P6" s="6" t="s">
        <v>38</v>
      </c>
    </row>
    <row r="7" customFormat="false" ht="19.5" hidden="false" customHeight="true" outlineLevel="0" collapsed="false">
      <c r="A7" s="11" t="n">
        <v>2</v>
      </c>
      <c r="B7" s="12" t="s">
        <v>24</v>
      </c>
      <c r="C7" s="12" t="s">
        <v>39</v>
      </c>
      <c r="D7" s="13" t="s">
        <v>40</v>
      </c>
      <c r="E7" s="12" t="s">
        <v>41</v>
      </c>
      <c r="F7" s="12" t="s">
        <v>27</v>
      </c>
      <c r="G7" s="12" t="s">
        <v>42</v>
      </c>
      <c r="H7" s="11" t="s">
        <v>43</v>
      </c>
      <c r="I7" s="11" t="s">
        <v>44</v>
      </c>
      <c r="J7" s="11" t="s">
        <v>45</v>
      </c>
      <c r="K7" s="13" t="s">
        <v>46</v>
      </c>
      <c r="L7" s="13" t="s">
        <v>47</v>
      </c>
      <c r="M7" s="12" t="s">
        <v>48</v>
      </c>
      <c r="N7" s="14" t="s">
        <v>49</v>
      </c>
      <c r="O7" s="15" t="s">
        <v>50</v>
      </c>
      <c r="P7" s="11" t="s">
        <v>51</v>
      </c>
    </row>
    <row r="8" customFormat="false" ht="19.5" hidden="false" customHeight="true" outlineLevel="0" collapsed="false">
      <c r="A8" s="6" t="n">
        <v>3</v>
      </c>
      <c r="B8" s="7" t="s">
        <v>24</v>
      </c>
      <c r="C8" s="7" t="s">
        <v>52</v>
      </c>
      <c r="D8" s="8" t="s">
        <v>53</v>
      </c>
      <c r="E8" s="7" t="s">
        <v>54</v>
      </c>
      <c r="F8" s="7" t="s">
        <v>55</v>
      </c>
      <c r="G8" s="7" t="s">
        <v>56</v>
      </c>
      <c r="H8" s="6" t="s">
        <v>57</v>
      </c>
      <c r="I8" s="6" t="s">
        <v>58</v>
      </c>
      <c r="J8" s="6" t="s">
        <v>59</v>
      </c>
      <c r="K8" s="8" t="s">
        <v>60</v>
      </c>
      <c r="L8" s="8" t="s">
        <v>61</v>
      </c>
      <c r="M8" s="7" t="s">
        <v>62</v>
      </c>
      <c r="N8" s="9" t="s">
        <v>36</v>
      </c>
      <c r="O8" s="16" t="s">
        <v>63</v>
      </c>
      <c r="P8" s="6" t="s">
        <v>64</v>
      </c>
    </row>
    <row r="9" customFormat="false" ht="19.5" hidden="false" customHeight="true" outlineLevel="0" collapsed="false">
      <c r="A9" s="11" t="n">
        <v>4</v>
      </c>
      <c r="B9" s="12" t="s">
        <v>65</v>
      </c>
      <c r="C9" s="12" t="s">
        <v>66</v>
      </c>
      <c r="D9" s="13" t="s">
        <v>67</v>
      </c>
      <c r="E9" s="12" t="s">
        <v>68</v>
      </c>
      <c r="F9" s="12" t="s">
        <v>69</v>
      </c>
      <c r="G9" s="12" t="s">
        <v>70</v>
      </c>
      <c r="H9" s="11" t="s">
        <v>71</v>
      </c>
      <c r="I9" s="11" t="s">
        <v>72</v>
      </c>
      <c r="J9" s="11" t="s">
        <v>73</v>
      </c>
      <c r="K9" s="13" t="s">
        <v>74</v>
      </c>
      <c r="L9" s="13" t="s">
        <v>75</v>
      </c>
      <c r="M9" s="12" t="s">
        <v>76</v>
      </c>
      <c r="N9" s="17" t="s">
        <v>77</v>
      </c>
      <c r="O9" s="10" t="s">
        <v>37</v>
      </c>
      <c r="P9" s="11" t="s">
        <v>38</v>
      </c>
    </row>
    <row r="10" customFormat="false" ht="19.5" hidden="false" customHeight="true" outlineLevel="0" collapsed="false">
      <c r="A10" s="6" t="n">
        <v>5</v>
      </c>
      <c r="B10" s="7" t="s">
        <v>65</v>
      </c>
      <c r="C10" s="7" t="s">
        <v>78</v>
      </c>
      <c r="D10" s="8" t="s">
        <v>79</v>
      </c>
      <c r="E10" s="7" t="s">
        <v>69</v>
      </c>
      <c r="F10" s="7" t="s">
        <v>80</v>
      </c>
      <c r="G10" s="7" t="s">
        <v>70</v>
      </c>
      <c r="H10" s="6" t="s">
        <v>73</v>
      </c>
      <c r="I10" s="6" t="s">
        <v>44</v>
      </c>
      <c r="J10" s="6" t="s">
        <v>81</v>
      </c>
      <c r="K10" s="8" t="s">
        <v>82</v>
      </c>
      <c r="L10" s="8" t="s">
        <v>83</v>
      </c>
      <c r="M10" s="7" t="s">
        <v>76</v>
      </c>
      <c r="N10" s="9" t="s">
        <v>36</v>
      </c>
      <c r="O10" s="15" t="s">
        <v>50</v>
      </c>
      <c r="P10" s="6" t="s">
        <v>84</v>
      </c>
    </row>
    <row r="11" customFormat="false" ht="19.5" hidden="false" customHeight="true" outlineLevel="0" collapsed="false">
      <c r="A11" s="11" t="n">
        <v>6</v>
      </c>
      <c r="B11" s="12" t="s">
        <v>85</v>
      </c>
      <c r="C11" s="12" t="s">
        <v>86</v>
      </c>
      <c r="D11" s="13" t="s">
        <v>87</v>
      </c>
      <c r="E11" s="12" t="s">
        <v>88</v>
      </c>
      <c r="F11" s="12" t="s">
        <v>89</v>
      </c>
      <c r="G11" s="12" t="s">
        <v>42</v>
      </c>
      <c r="H11" s="11" t="s">
        <v>72</v>
      </c>
      <c r="I11" s="11" t="s">
        <v>90</v>
      </c>
      <c r="J11" s="11" t="s">
        <v>91</v>
      </c>
      <c r="K11" s="13" t="s">
        <v>92</v>
      </c>
      <c r="L11" s="13" t="s">
        <v>93</v>
      </c>
      <c r="M11" s="12" t="s">
        <v>94</v>
      </c>
      <c r="N11" s="17" t="s">
        <v>77</v>
      </c>
      <c r="O11" s="16" t="s">
        <v>63</v>
      </c>
      <c r="P11" s="11" t="s">
        <v>64</v>
      </c>
    </row>
    <row r="12" customFormat="false" ht="19.5" hidden="false" customHeight="true" outlineLevel="0" collapsed="false">
      <c r="A12" s="6" t="n">
        <v>7</v>
      </c>
      <c r="B12" s="7" t="s">
        <v>85</v>
      </c>
      <c r="C12" s="7" t="s">
        <v>95</v>
      </c>
      <c r="D12" s="8" t="s">
        <v>96</v>
      </c>
      <c r="E12" s="7" t="s">
        <v>97</v>
      </c>
      <c r="F12" s="7" t="s">
        <v>88</v>
      </c>
      <c r="G12" s="7" t="s">
        <v>98</v>
      </c>
      <c r="H12" s="6" t="s">
        <v>57</v>
      </c>
      <c r="I12" s="6" t="s">
        <v>99</v>
      </c>
      <c r="J12" s="6" t="s">
        <v>58</v>
      </c>
      <c r="K12" s="8" t="s">
        <v>100</v>
      </c>
      <c r="L12" s="8" t="s">
        <v>101</v>
      </c>
      <c r="M12" s="7" t="s">
        <v>102</v>
      </c>
      <c r="N12" s="18" t="s">
        <v>103</v>
      </c>
      <c r="O12" s="15" t="s">
        <v>50</v>
      </c>
      <c r="P12" s="6" t="s">
        <v>104</v>
      </c>
    </row>
    <row r="13" customFormat="false" ht="19.5" hidden="false" customHeight="true" outlineLevel="0" collapsed="false">
      <c r="A13" s="11" t="n">
        <v>8</v>
      </c>
      <c r="B13" s="12" t="s">
        <v>105</v>
      </c>
      <c r="C13" s="12" t="s">
        <v>106</v>
      </c>
      <c r="D13" s="13" t="s">
        <v>107</v>
      </c>
      <c r="E13" s="12" t="s">
        <v>108</v>
      </c>
      <c r="F13" s="12" t="s">
        <v>109</v>
      </c>
      <c r="G13" s="12" t="s">
        <v>110</v>
      </c>
      <c r="H13" s="11" t="s">
        <v>111</v>
      </c>
      <c r="I13" s="11" t="s">
        <v>112</v>
      </c>
      <c r="J13" s="11" t="s">
        <v>45</v>
      </c>
      <c r="K13" s="13" t="s">
        <v>113</v>
      </c>
      <c r="L13" s="13" t="s">
        <v>114</v>
      </c>
      <c r="M13" s="12" t="s">
        <v>115</v>
      </c>
      <c r="N13" s="14" t="s">
        <v>49</v>
      </c>
      <c r="O13" s="15" t="s">
        <v>50</v>
      </c>
      <c r="P13" s="11" t="s">
        <v>116</v>
      </c>
    </row>
    <row r="14" customFormat="false" ht="19.5" hidden="false" customHeight="true" outlineLevel="0" collapsed="false">
      <c r="A14" s="6" t="n">
        <v>9</v>
      </c>
      <c r="B14" s="7" t="s">
        <v>105</v>
      </c>
      <c r="C14" s="7" t="s">
        <v>117</v>
      </c>
      <c r="D14" s="8" t="s">
        <v>118</v>
      </c>
      <c r="E14" s="7" t="s">
        <v>119</v>
      </c>
      <c r="F14" s="7" t="s">
        <v>70</v>
      </c>
      <c r="G14" s="7" t="s">
        <v>120</v>
      </c>
      <c r="H14" s="6" t="s">
        <v>32</v>
      </c>
      <c r="I14" s="6" t="s">
        <v>121</v>
      </c>
      <c r="J14" s="6" t="s">
        <v>44</v>
      </c>
      <c r="K14" s="8" t="s">
        <v>122</v>
      </c>
      <c r="L14" s="8" t="s">
        <v>123</v>
      </c>
      <c r="M14" s="7" t="s">
        <v>115</v>
      </c>
      <c r="N14" s="17" t="s">
        <v>77</v>
      </c>
      <c r="O14" s="16" t="s">
        <v>63</v>
      </c>
      <c r="P14" s="6" t="s">
        <v>64</v>
      </c>
    </row>
    <row r="15" customFormat="false" ht="19.5" hidden="false" customHeight="true" outlineLevel="0" collapsed="false">
      <c r="A15" s="11" t="n">
        <v>10</v>
      </c>
      <c r="B15" s="12" t="s">
        <v>124</v>
      </c>
      <c r="C15" s="12" t="s">
        <v>125</v>
      </c>
      <c r="D15" s="13" t="s">
        <v>126</v>
      </c>
      <c r="E15" s="12" t="s">
        <v>127</v>
      </c>
      <c r="F15" s="12" t="s">
        <v>128</v>
      </c>
      <c r="G15" s="12" t="s">
        <v>129</v>
      </c>
      <c r="H15" s="11" t="s">
        <v>130</v>
      </c>
      <c r="I15" s="11" t="s">
        <v>32</v>
      </c>
      <c r="J15" s="11" t="s">
        <v>72</v>
      </c>
      <c r="K15" s="13" t="s">
        <v>131</v>
      </c>
      <c r="L15" s="13" t="s">
        <v>132</v>
      </c>
      <c r="M15" s="12" t="s">
        <v>133</v>
      </c>
      <c r="N15" s="14" t="s">
        <v>49</v>
      </c>
      <c r="O15" s="10" t="s">
        <v>37</v>
      </c>
      <c r="P15" s="11" t="s">
        <v>38</v>
      </c>
    </row>
    <row r="16" customFormat="false" ht="21.75" hidden="false" customHeight="true" outlineLevel="0" collapsed="false">
      <c r="A16" s="19" t="s">
        <v>134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 t="n">
        <f aca="false">COUNTIF(N6:N15,"Critical")</f>
        <v>3</v>
      </c>
      <c r="O16" s="20" t="n">
        <f aca="false">COUNTIF(O6:O15,"Completed")</f>
        <v>3</v>
      </c>
      <c r="P16" s="21" t="str">
        <f aca="false">IFERROR(AVERAGEIF(P6:P15,"&lt;&gt;",P6:P15),"N/A")</f>
        <v>N/A</v>
      </c>
    </row>
  </sheetData>
  <mergeCells count="9">
    <mergeCell ref="A1:P2"/>
    <mergeCell ref="A3:H3"/>
    <mergeCell ref="I3:P3"/>
    <mergeCell ref="A4:D4"/>
    <mergeCell ref="E4:G4"/>
    <mergeCell ref="H4:J4"/>
    <mergeCell ref="K4:M4"/>
    <mergeCell ref="N4:P4"/>
    <mergeCell ref="A16:M16"/>
  </mergeCells>
  <dataValidations count="2">
    <dataValidation allowBlank="true" errorStyle="stop" operator="between" showDropDown="false" showErrorMessage="false" showInputMessage="false" sqref="O6:O1000" type="list">
      <formula1>"Not Started,In Progress,On Hold,Completed"</formula1>
      <formula2>0</formula2>
    </dataValidation>
    <dataValidation allowBlank="true" errorStyle="stop" operator="between" showDropDown="false" showErrorMessage="false" showInputMessage="false" sqref="N6:N1000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31.5" hidden="false" customHeight="true" outlineLevel="0" collapsed="false">
      <c r="A1" s="22" t="s">
        <v>135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3.75" hidden="false" customHeight="true" outlineLevel="0" collapsed="false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15.75" hidden="false" customHeight="true" outlineLevel="0" collapsed="false"/>
    <row r="4" customFormat="false" ht="18" hidden="false" customHeight="true" outlineLevel="0" collapsed="false">
      <c r="A4" s="23" t="s">
        <v>136</v>
      </c>
      <c r="B4" s="23"/>
      <c r="C4" s="24" t="s">
        <v>137</v>
      </c>
      <c r="D4" s="24"/>
      <c r="E4" s="25" t="s">
        <v>138</v>
      </c>
      <c r="F4" s="25"/>
      <c r="G4" s="26" t="s">
        <v>139</v>
      </c>
      <c r="H4" s="26"/>
      <c r="I4" s="27" t="s">
        <v>140</v>
      </c>
      <c r="J4" s="27"/>
      <c r="K4" s="28" t="s">
        <v>141</v>
      </c>
      <c r="L4" s="28"/>
    </row>
    <row r="5" customFormat="false" ht="30" hidden="false" customHeight="true" outlineLevel="0" collapsed="false">
      <c r="A5" s="29" t="n">
        <f aca="false">'Task Handover Tracker'!A15</f>
        <v>10</v>
      </c>
      <c r="B5" s="29"/>
      <c r="C5" s="30" t="n">
        <f aca="false">COUNTIF('Task Handover Tracker'!O6:O1000,"Completed")</f>
        <v>3</v>
      </c>
      <c r="D5" s="30"/>
      <c r="E5" s="31" t="n">
        <f aca="false">COUNTIF('Task Handover Tracker'!O6:O1000,"In Progress")</f>
        <v>4</v>
      </c>
      <c r="F5" s="31"/>
      <c r="G5" s="32" t="n">
        <f aca="false">COUNTIF('Task Handover Tracker'!O6:O1000,"Not Started")</f>
        <v>3</v>
      </c>
      <c r="H5" s="32"/>
      <c r="I5" s="33" t="n">
        <f aca="false">COUNTIF('Task Handover Tracker'!N6:N1000,"Critical")</f>
        <v>3</v>
      </c>
      <c r="J5" s="33"/>
      <c r="K5" s="34" t="n">
        <f aca="false">IFERROR(AVERAGEIF('Task Handover Tracker'!O6:O1000,"&lt;&gt;",'Task Handover Tracker'!P6:P1000),0)</f>
        <v>0</v>
      </c>
      <c r="L5" s="34"/>
    </row>
    <row r="8" customFormat="false" ht="7.5" hidden="false" customHeight="true" outlineLevel="0" collapsed="false"/>
    <row r="9" customFormat="false" ht="21.75" hidden="false" customHeight="true" outlineLevel="0" collapsed="false">
      <c r="A9" s="35" t="s">
        <v>142</v>
      </c>
      <c r="B9" s="35"/>
      <c r="C9" s="35"/>
      <c r="D9" s="35"/>
      <c r="F9" s="35" t="s">
        <v>143</v>
      </c>
      <c r="G9" s="35"/>
      <c r="H9" s="35"/>
      <c r="I9" s="35"/>
    </row>
    <row r="10" customFormat="false" ht="15" hidden="false" customHeight="false" outlineLevel="0" collapsed="false">
      <c r="A10" s="36" t="s">
        <v>8</v>
      </c>
      <c r="B10" s="36" t="s">
        <v>22</v>
      </c>
      <c r="C10" s="36" t="s">
        <v>144</v>
      </c>
      <c r="D10" s="36" t="s">
        <v>145</v>
      </c>
      <c r="F10" s="36" t="s">
        <v>8</v>
      </c>
      <c r="G10" s="36" t="s">
        <v>21</v>
      </c>
      <c r="H10" s="36" t="s">
        <v>144</v>
      </c>
      <c r="I10" s="36" t="s">
        <v>145</v>
      </c>
    </row>
    <row r="11" customFormat="false" ht="18" hidden="false" customHeight="true" outlineLevel="0" collapsed="false">
      <c r="A11" s="11" t="n">
        <v>1</v>
      </c>
      <c r="B11" s="7" t="s">
        <v>37</v>
      </c>
      <c r="C11" s="37" t="n">
        <f aca="false">COUNTIF('Task Handover Tracker'!O6:O1000,B11)</f>
        <v>3</v>
      </c>
      <c r="D11" s="38" t="n">
        <f aca="false">IFERROR(C11/SUM(C11:C14),0)</f>
        <v>0.3</v>
      </c>
      <c r="F11" s="11" t="n">
        <v>1</v>
      </c>
      <c r="G11" s="39" t="s">
        <v>49</v>
      </c>
      <c r="H11" s="37" t="n">
        <f aca="false">COUNTIF('Task Handover Tracker'!N6:N1000,G11)</f>
        <v>3</v>
      </c>
      <c r="I11" s="38" t="n">
        <f aca="false">IFERROR(H11/SUM(H11:H14),0)</f>
        <v>0.3</v>
      </c>
    </row>
    <row r="12" customFormat="false" ht="18" hidden="false" customHeight="true" outlineLevel="0" collapsed="false">
      <c r="A12" s="11" t="n">
        <v>2</v>
      </c>
      <c r="B12" s="7" t="s">
        <v>50</v>
      </c>
      <c r="C12" s="37" t="n">
        <f aca="false">COUNTIF('Task Handover Tracker'!O6:O1000,B12)</f>
        <v>4</v>
      </c>
      <c r="D12" s="38" t="n">
        <f aca="false">IFERROR(C12/SUM(C11:C14),0)</f>
        <v>0.4</v>
      </c>
      <c r="F12" s="11" t="n">
        <v>2</v>
      </c>
      <c r="G12" s="40" t="s">
        <v>36</v>
      </c>
      <c r="H12" s="37" t="n">
        <f aca="false">COUNTIF('Task Handover Tracker'!N6:N1000,G12)</f>
        <v>3</v>
      </c>
      <c r="I12" s="38" t="n">
        <f aca="false">IFERROR(H12/SUM(H11:H14),0)</f>
        <v>0.3</v>
      </c>
    </row>
    <row r="13" customFormat="false" ht="18" hidden="false" customHeight="true" outlineLevel="0" collapsed="false">
      <c r="A13" s="11" t="n">
        <v>3</v>
      </c>
      <c r="B13" s="7" t="s">
        <v>63</v>
      </c>
      <c r="C13" s="37" t="n">
        <f aca="false">COUNTIF('Task Handover Tracker'!O6:O1000,B13)</f>
        <v>3</v>
      </c>
      <c r="D13" s="38" t="n">
        <f aca="false">IFERROR(C13/SUM(C11:C14),0)</f>
        <v>0.3</v>
      </c>
      <c r="F13" s="11" t="n">
        <v>3</v>
      </c>
      <c r="G13" s="41" t="s">
        <v>77</v>
      </c>
      <c r="H13" s="37" t="n">
        <f aca="false">COUNTIF('Task Handover Tracker'!N6:N1000,G13)</f>
        <v>3</v>
      </c>
      <c r="I13" s="38" t="n">
        <f aca="false">IFERROR(H13/SUM(H11:H14),0)</f>
        <v>0.3</v>
      </c>
    </row>
    <row r="14" customFormat="false" ht="18" hidden="false" customHeight="true" outlineLevel="0" collapsed="false">
      <c r="A14" s="11" t="n">
        <v>4</v>
      </c>
      <c r="B14" s="7" t="s">
        <v>146</v>
      </c>
      <c r="C14" s="37" t="n">
        <f aca="false">COUNTIF('Task Handover Tracker'!O6:O1000,B14)</f>
        <v>0</v>
      </c>
      <c r="D14" s="38" t="n">
        <f aca="false">IFERROR(C14/SUM(C11:C14),0)</f>
        <v>0</v>
      </c>
      <c r="F14" s="11" t="n">
        <v>4</v>
      </c>
      <c r="G14" s="42" t="s">
        <v>103</v>
      </c>
      <c r="H14" s="37" t="n">
        <f aca="false">COUNTIF('Task Handover Tracker'!N6:N1000,G14)</f>
        <v>1</v>
      </c>
      <c r="I14" s="38" t="n">
        <f aca="false">IFERROR(H14/SUM(H11:H14),0)</f>
        <v>0.1</v>
      </c>
    </row>
    <row r="16" customFormat="false" ht="9.75" hidden="false" customHeight="true" outlineLevel="0" collapsed="false"/>
    <row r="17" customFormat="false" ht="21.75" hidden="false" customHeight="true" outlineLevel="0" collapsed="false">
      <c r="A17" s="43" t="s">
        <v>147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</row>
  </sheetData>
  <mergeCells count="16">
    <mergeCell ref="A1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9:D9"/>
    <mergeCell ref="F9:I9"/>
    <mergeCell ref="A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8135"/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44" t="s">
        <v>148</v>
      </c>
      <c r="B1" s="44"/>
      <c r="C1" s="44"/>
    </row>
    <row r="2" customFormat="false" ht="15" hidden="false" customHeight="false" outlineLevel="0" collapsed="false">
      <c r="A2" s="44"/>
      <c r="B2" s="44"/>
      <c r="C2" s="44"/>
    </row>
    <row r="4" customFormat="false" ht="19.5" hidden="false" customHeight="true" outlineLevel="0" collapsed="false">
      <c r="A4" s="36" t="s">
        <v>149</v>
      </c>
      <c r="B4" s="45" t="s">
        <v>150</v>
      </c>
      <c r="C4" s="46" t="s">
        <v>151</v>
      </c>
    </row>
    <row r="5" customFormat="false" ht="19.5" hidden="false" customHeight="true" outlineLevel="0" collapsed="false">
      <c r="A5" s="11" t="s">
        <v>152</v>
      </c>
      <c r="B5" s="12" t="s">
        <v>153</v>
      </c>
      <c r="C5" s="13" t="s">
        <v>154</v>
      </c>
    </row>
    <row r="6" customFormat="false" ht="19.5" hidden="false" customHeight="true" outlineLevel="0" collapsed="false">
      <c r="A6" s="6" t="s">
        <v>155</v>
      </c>
      <c r="B6" s="7" t="s">
        <v>156</v>
      </c>
      <c r="C6" s="8" t="s">
        <v>157</v>
      </c>
    </row>
    <row r="7" customFormat="false" ht="19.5" hidden="false" customHeight="true" outlineLevel="0" collapsed="false">
      <c r="A7" s="11" t="s">
        <v>158</v>
      </c>
      <c r="B7" s="12" t="s">
        <v>159</v>
      </c>
      <c r="C7" s="13" t="s">
        <v>160</v>
      </c>
    </row>
    <row r="8" customFormat="false" ht="19.5" hidden="false" customHeight="true" outlineLevel="0" collapsed="false">
      <c r="A8" s="6" t="s">
        <v>161</v>
      </c>
      <c r="B8" s="7" t="s">
        <v>162</v>
      </c>
      <c r="C8" s="8" t="s">
        <v>163</v>
      </c>
    </row>
    <row r="9" customFormat="false" ht="19.5" hidden="false" customHeight="true" outlineLevel="0" collapsed="false">
      <c r="A9" s="11" t="s">
        <v>164</v>
      </c>
      <c r="B9" s="12" t="s">
        <v>165</v>
      </c>
      <c r="C9" s="13" t="s">
        <v>166</v>
      </c>
    </row>
    <row r="10" customFormat="false" ht="19.5" hidden="false" customHeight="true" outlineLevel="0" collapsed="false">
      <c r="A10" s="6" t="s">
        <v>167</v>
      </c>
      <c r="B10" s="7" t="s">
        <v>168</v>
      </c>
      <c r="C10" s="8" t="s">
        <v>169</v>
      </c>
    </row>
    <row r="11" customFormat="false" ht="19.5" hidden="false" customHeight="true" outlineLevel="0" collapsed="false">
      <c r="A11" s="11" t="s">
        <v>170</v>
      </c>
      <c r="B11" s="12" t="s">
        <v>171</v>
      </c>
      <c r="C11" s="13" t="s">
        <v>172</v>
      </c>
    </row>
    <row r="12" customFormat="false" ht="19.5" hidden="false" customHeight="true" outlineLevel="0" collapsed="false">
      <c r="A12" s="6" t="s">
        <v>173</v>
      </c>
      <c r="B12" s="7" t="s">
        <v>174</v>
      </c>
      <c r="C12" s="8" t="s">
        <v>175</v>
      </c>
    </row>
    <row r="13" customFormat="false" ht="19.5" hidden="false" customHeight="true" outlineLevel="0" collapsed="false">
      <c r="A13" s="11" t="s">
        <v>176</v>
      </c>
      <c r="B13" s="12" t="s">
        <v>177</v>
      </c>
      <c r="C13" s="13" t="s">
        <v>178</v>
      </c>
    </row>
    <row r="14" customFormat="false" ht="19.5" hidden="false" customHeight="true" outlineLevel="0" collapsed="false">
      <c r="A14" s="6" t="s">
        <v>179</v>
      </c>
      <c r="B14" s="7" t="s">
        <v>180</v>
      </c>
      <c r="C14" s="8" t="s">
        <v>181</v>
      </c>
    </row>
    <row r="15" customFormat="false" ht="19.5" hidden="false" customHeight="true" outlineLevel="0" collapsed="false">
      <c r="A15" s="11" t="s">
        <v>182</v>
      </c>
      <c r="B15" s="12" t="s">
        <v>183</v>
      </c>
      <c r="C15" s="13" t="s">
        <v>184</v>
      </c>
    </row>
    <row r="16" customFormat="false" ht="19.5" hidden="false" customHeight="true" outlineLevel="0" collapsed="false">
      <c r="A16" s="6" t="s">
        <v>185</v>
      </c>
      <c r="B16" s="7" t="s">
        <v>186</v>
      </c>
      <c r="C16" s="8" t="s">
        <v>187</v>
      </c>
    </row>
  </sheetData>
  <mergeCells count="1">
    <mergeCell ref="A1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2026-03-17T02:56:51Z</dcterms:created>
  <dc:creator>openpyxl</dc:creator>
  <dc:description/>
  <dc:language>en-US</dc:language>
  <cp:lastModifiedBy/>
  <dcterms:modified xsi:type="dcterms:W3CDTF">2026-03-17T02:56:51Z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